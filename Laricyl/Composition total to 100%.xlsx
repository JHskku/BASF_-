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uHs\OneDrive - BASF\Basf Korea\1. EM\EMC\Product\# EMC Product Documents\#BCS\Laricyl\"/>
    </mc:Choice>
  </mc:AlternateContent>
  <bookViews>
    <workbookView xWindow="0" yWindow="600" windowWidth="28800" windowHeight="117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8" i="1" l="1"/>
  <c r="J8" i="1" s="1"/>
  <c r="H8" i="1"/>
  <c r="J7" i="1"/>
  <c r="I7" i="1"/>
  <c r="H7" i="1"/>
  <c r="I9" i="1"/>
  <c r="H9" i="1"/>
  <c r="J9" i="1" l="1"/>
  <c r="J12" i="1" s="1"/>
  <c r="F12" i="1"/>
  <c r="G7" i="1"/>
  <c r="G12" i="1" s="1"/>
  <c r="F7" i="1"/>
  <c r="G9" i="1"/>
  <c r="F9" i="1"/>
  <c r="G8" i="1"/>
  <c r="F8" i="1"/>
  <c r="E12" i="1"/>
</calcChain>
</file>

<file path=xl/sharedStrings.xml><?xml version="1.0" encoding="utf-8"?>
<sst xmlns="http://schemas.openxmlformats.org/spreadsheetml/2006/main" count="18" uniqueCount="14">
  <si>
    <t>Butylene Glycol</t>
  </si>
  <si>
    <t>Fomes Officinalis Extract</t>
  </si>
  <si>
    <t>Phenoxyethanol</t>
  </si>
  <si>
    <t>PEG-40 Hydrogenated Caster oil</t>
  </si>
  <si>
    <t>Water</t>
  </si>
  <si>
    <t>0.80-0.80</t>
  </si>
  <si>
    <t>0.30-0.30</t>
  </si>
  <si>
    <t>0.24 - 0.48%</t>
  </si>
  <si>
    <t>US INCI</t>
  </si>
  <si>
    <t>EU INCI</t>
  </si>
  <si>
    <t>Fomes Officinalis (Mushroom) Extract</t>
  </si>
  <si>
    <t>Content</t>
  </si>
  <si>
    <t>46% - 49.28%</t>
  </si>
  <si>
    <t>49% - 52.8%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</si>
</sst>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5" formatCode="0.000%"/>
    <numFmt numFmtId="166" formatCode="0.0000%"/>
  </numFmts>
  <fonts count="2">
    <font>
      <sz val="10"/>
      <color theme="1"/>
      <name val="Arial"/>
      <family val="2"/>
      <charset val="129"/>
    </font>
    <font>
      <sz val="10"/>
      <color theme="1"/>
      <name val="Arial"/>
      <family val="2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10" fontId="0" fillId="0" borderId="0" xfId="0" applyNumberFormat="1"/>
    <xf numFmtId="0" fontId="0" fillId="0" borderId="1" xfId="0" applyBorder="1"/>
    <xf numFmtId="9" fontId="0" fillId="0" borderId="1" xfId="1" applyFont="1" applyBorder="1"/>
    <xf numFmtId="165" fontId="0" fillId="0" borderId="1" xfId="0" applyNumberFormat="1" applyBorder="1"/>
    <xf numFmtId="10" fontId="0" fillId="0" borderId="1" xfId="1" applyNumberFormat="1" applyFont="1" applyBorder="1"/>
    <xf numFmtId="0" fontId="0" fillId="0" borderId="1" xfId="0" applyBorder="1" applyAlignment="1">
      <alignment horizontal="center"/>
    </xf>
    <xf numFmtId="166" fontId="0" fillId="0" borderId="1" xfId="1" applyNumberFormat="1" applyFont="1" applyBorder="1"/>
    <xf numFmtId="166" fontId="0" fillId="0" borderId="1" xfId="0" applyNumberFormat="1" applyBorder="1"/>
    <xf numFmtId="10" fontId="0" fillId="0" borderId="1" xfId="0" applyNumberFormat="1" applyBorder="1"/>
    <xf numFmtId="10" fontId="0" fillId="0" borderId="1" xfId="1" applyNumberFormat="1" applyFont="1" applyBorder="1" applyAlignment="1">
      <alignment horizont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6:K12"/>
  <sheetViews>
    <sheetView tabSelected="1" topLeftCell="C1" workbookViewId="0">
      <selection activeCell="E20" sqref="E20"/>
    </sheetView>
  </sheetViews>
  <sheetFormatPr defaultRowHeight="12.75"/>
  <cols>
    <col min="3" max="4" width="28.7109375" customWidth="1"/>
    <col min="5" max="9" width="9.140625" customWidth="1"/>
    <col min="10" max="10" width="9.28515625" customWidth="1"/>
    <col min="11" max="11" width="13.140625" customWidth="1"/>
  </cols>
  <sheetData>
    <row r="6" spans="3:11">
      <c r="C6" s="2" t="s">
        <v>8</v>
      </c>
      <c r="D6" s="2" t="s">
        <v>9</v>
      </c>
      <c r="E6" s="2"/>
      <c r="F6" s="2"/>
      <c r="G6" s="2"/>
      <c r="H6" s="2"/>
      <c r="I6" s="2"/>
      <c r="J6" s="2"/>
      <c r="K6" s="2" t="s">
        <v>11</v>
      </c>
    </row>
    <row r="7" spans="3:11">
      <c r="C7" s="2" t="s">
        <v>0</v>
      </c>
      <c r="D7" s="2" t="s">
        <v>0</v>
      </c>
      <c r="E7" s="3">
        <v>0.51</v>
      </c>
      <c r="F7" s="4">
        <f>100%-SUM(F8:F11)</f>
        <v>0.50900000000000001</v>
      </c>
      <c r="G7" s="4">
        <f>100%-SUM(G8:G11)</f>
        <v>0.50900000000000001</v>
      </c>
      <c r="H7" s="5">
        <f>F7-1.9%</f>
        <v>0.49</v>
      </c>
      <c r="I7" s="5">
        <f>G7+1.9%</f>
        <v>0.52800000000000002</v>
      </c>
      <c r="J7" s="2">
        <f>(H7+I7)/2</f>
        <v>0.50900000000000001</v>
      </c>
      <c r="K7" s="6" t="s">
        <v>13</v>
      </c>
    </row>
    <row r="8" spans="3:11">
      <c r="C8" s="2" t="s">
        <v>10</v>
      </c>
      <c r="D8" s="2" t="s">
        <v>1</v>
      </c>
      <c r="E8" s="3">
        <v>0.48</v>
      </c>
      <c r="F8" s="7">
        <f>E8*0.005</f>
        <v>2.3999999999999998E-3</v>
      </c>
      <c r="G8" s="7">
        <f>E8*0.01</f>
        <v>4.7999999999999996E-3</v>
      </c>
      <c r="H8" s="5">
        <f>F8</f>
        <v>2.3999999999999998E-3</v>
      </c>
      <c r="I8" s="5">
        <f>G8</f>
        <v>4.7999999999999996E-3</v>
      </c>
      <c r="J8" s="2">
        <f>(H8+I8)/2</f>
        <v>3.5999999999999999E-3</v>
      </c>
      <c r="K8" s="6" t="s">
        <v>7</v>
      </c>
    </row>
    <row r="9" spans="3:11">
      <c r="C9" s="2" t="s">
        <v>4</v>
      </c>
      <c r="D9" s="2" t="s">
        <v>4</v>
      </c>
      <c r="E9" s="2"/>
      <c r="F9" s="8">
        <f>E8-F8</f>
        <v>0.47759999999999997</v>
      </c>
      <c r="G9" s="8">
        <f>E8-G8</f>
        <v>0.47519999999999996</v>
      </c>
      <c r="H9" s="9">
        <f>F9-1.76%</f>
        <v>0.45999999999999996</v>
      </c>
      <c r="I9" s="8">
        <f>G9+1.76%</f>
        <v>0.49279999999999996</v>
      </c>
      <c r="J9" s="2">
        <f>(H9+I9)/2</f>
        <v>0.47639999999999993</v>
      </c>
      <c r="K9" s="6" t="s">
        <v>12</v>
      </c>
    </row>
    <row r="10" spans="3:11">
      <c r="C10" s="2" t="s">
        <v>2</v>
      </c>
      <c r="D10" s="2" t="s">
        <v>2</v>
      </c>
      <c r="E10" s="5">
        <v>8.0000000000000002E-3</v>
      </c>
      <c r="F10" s="5">
        <v>8.0000000000000002E-3</v>
      </c>
      <c r="G10" s="5">
        <v>8.0000000000000002E-3</v>
      </c>
      <c r="H10" s="2" t="s">
        <v>5</v>
      </c>
      <c r="I10" s="2"/>
      <c r="J10" s="5">
        <v>8.0000000000000002E-3</v>
      </c>
      <c r="K10" s="10">
        <v>8.0000000000000002E-3</v>
      </c>
    </row>
    <row r="11" spans="3:11">
      <c r="C11" s="2" t="s">
        <v>3</v>
      </c>
      <c r="D11" s="2" t="s">
        <v>3</v>
      </c>
      <c r="E11" s="5">
        <v>3.0000000000000001E-3</v>
      </c>
      <c r="F11" s="5">
        <v>3.0000000000000001E-3</v>
      </c>
      <c r="G11" s="5">
        <v>3.0000000000000001E-3</v>
      </c>
      <c r="H11" s="2" t="s">
        <v>6</v>
      </c>
      <c r="I11" s="2"/>
      <c r="J11" s="5">
        <v>3.0000000000000001E-3</v>
      </c>
      <c r="K11" s="10">
        <v>3.0000000000000001E-3</v>
      </c>
    </row>
    <row r="12" spans="3:11">
      <c r="E12" s="1">
        <f>SUM(E7:E11)</f>
        <v>1.0009999999999999</v>
      </c>
      <c r="F12" s="1">
        <f>SUM(F7:F11)</f>
        <v>0.99999999999999989</v>
      </c>
      <c r="G12" s="1">
        <f t="shared" ref="G12" si="0">SUM(G7:G11)</f>
        <v>1</v>
      </c>
      <c r="J12" s="1">
        <f t="shared" ref="J12" si="1">SUM(J7:J11)</f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EEA24C6D24B4D870A36CBFF9E5405" ma:contentTypeVersion="19" ma:contentTypeDescription="Create a new document." ma:contentTypeScope="" ma:versionID="1d900ddfe9a00ac4e65bea4d7356d306">
  <xsd:schema xmlns:xsd="http://www.w3.org/2001/XMLSchema" xmlns:xs="http://www.w3.org/2001/XMLSchema" xmlns:p="http://schemas.microsoft.com/office/2006/metadata/properties" xmlns:ns2="ef38ffdd-bc63-4b06-8b4c-5572fdadb0ad" xmlns:ns3="d8fa8ce2-0fe7-4f52-a6a5-ddca9eee7fff" xmlns:ns4="ffdf5e3f-25b5-4cb2-9987-0e2ef3c24df6" targetNamespace="http://schemas.microsoft.com/office/2006/metadata/properties" ma:root="true" ma:fieldsID="f6ed66275768b0e548ea3554c2bdf96e" ns2:_="" ns3:_="" ns4:_="">
    <xsd:import namespace="ef38ffdd-bc63-4b06-8b4c-5572fdadb0ad"/>
    <xsd:import namespace="d8fa8ce2-0fe7-4f52-a6a5-ddca9eee7fff"/>
    <xsd:import namespace="ffdf5e3f-25b5-4cb2-9987-0e2ef3c24df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38ffdd-bc63-4b06-8b4c-5572fdadb0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fa8ce2-0fe7-4f52-a6a5-ddca9eee7f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f6a3957-bc37-4693-a718-e57dac424d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df5e3f-25b5-4cb2-9987-0e2ef3c24df6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2e489884-c469-4209-b111-6291f31820d9}" ma:internalName="TaxCatchAll" ma:showField="CatchAllData" ma:web="ef38ffdd-bc63-4b06-8b4c-5572fdadb0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8fa8ce2-0fe7-4f52-a6a5-ddca9eee7fff">
      <Terms xmlns="http://schemas.microsoft.com/office/infopath/2007/PartnerControls"/>
    </lcf76f155ced4ddcb4097134ff3c332f>
    <TaxCatchAll xmlns="ffdf5e3f-25b5-4cb2-9987-0e2ef3c24df6" xsi:nil="true"/>
  </documentManagement>
</p:properties>
</file>

<file path=customXml/itemProps1.xml><?xml version="1.0" encoding="utf-8"?>
<ds:datastoreItem xmlns:ds="http://schemas.openxmlformats.org/officeDocument/2006/customXml" ds:itemID="{EB0B3773-0219-4FEE-B59A-7BFB4ACF2281}"/>
</file>

<file path=customXml/itemProps2.xml><?xml version="1.0" encoding="utf-8"?>
<ds:datastoreItem xmlns:ds="http://schemas.openxmlformats.org/officeDocument/2006/customXml" ds:itemID="{07C560D8-6E04-40E5-97DF-ACEA2C4D548B}"/>
</file>

<file path=customXml/itemProps3.xml><?xml version="1.0" encoding="utf-8"?>
<ds:datastoreItem xmlns:ds="http://schemas.openxmlformats.org/officeDocument/2006/customXml" ds:itemID="{42F04DB8-7022-42C8-925B-9A5AFE92DCC4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Sienna Chu</dc:creator>
  <cp:lastModifiedBy>Sienna Chu</cp:lastModifiedBy>
  <dcterms:created xsi:type="dcterms:W3CDTF">2019-07-11T01:05:36Z</dcterms:created>
  <dcterms:modified xsi:type="dcterms:W3CDTF">2019-07-11T01:39:01Z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0x010100EBAEEA24C6D24B4D870A36CBFF9E5405</vt:lpwstr>
  </property>
  <property fmtid="{D5CDD505-2E9C-101B-9397-08002B2CF9AE}" pid="3" name="Order">
    <vt:r8>399000</vt:r8>
  </property>
</Properties>
</file>